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ergi\Desktop\LEO\"/>
    </mc:Choice>
  </mc:AlternateContent>
  <xr:revisionPtr revIDLastSave="0" documentId="13_ncr:1_{83673EF4-ECE7-496C-A1CE-B774D90E1B0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os PF" sheetId="1" r:id="rId1"/>
    <sheet name="Planos PJ" sheetId="2" r:id="rId2"/>
    <sheet name="Simulacao" sheetId="3" r:id="rId3"/>
    <sheet name="Receita Estimada" sheetId="4" r:id="rId4"/>
    <sheet name="Parametros Sistem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H6" i="2"/>
  <c r="H7" i="2"/>
  <c r="J8" i="1"/>
  <c r="J7" i="1"/>
  <c r="J6" i="1"/>
  <c r="H6" i="1"/>
  <c r="H7" i="1"/>
  <c r="H8" i="1"/>
  <c r="D9" i="4"/>
  <c r="C9" i="4"/>
  <c r="B9" i="4"/>
  <c r="E9" i="4" s="1"/>
  <c r="F9" i="4" s="1"/>
  <c r="D8" i="4"/>
  <c r="C8" i="4"/>
  <c r="B8" i="4"/>
  <c r="E8" i="4" s="1"/>
  <c r="F8" i="4" s="1"/>
  <c r="D7" i="4"/>
  <c r="C7" i="4"/>
  <c r="E7" i="4" s="1"/>
  <c r="F7" i="4" s="1"/>
  <c r="B7" i="4"/>
  <c r="D6" i="4"/>
  <c r="C6" i="4"/>
  <c r="B6" i="4"/>
  <c r="E6" i="4" s="1"/>
  <c r="F6" i="4" s="1"/>
  <c r="E5" i="4"/>
  <c r="F5" i="4" s="1"/>
  <c r="D5" i="4"/>
  <c r="C5" i="4"/>
  <c r="B5" i="4"/>
  <c r="D15" i="3"/>
  <c r="C15" i="3"/>
  <c r="E15" i="3" s="1"/>
  <c r="B15" i="3"/>
  <c r="D14" i="3"/>
  <c r="C14" i="3"/>
  <c r="E14" i="3" s="1"/>
  <c r="B14" i="3"/>
  <c r="D13" i="3"/>
  <c r="C13" i="3"/>
  <c r="B13" i="3"/>
  <c r="E13" i="3" s="1"/>
  <c r="D12" i="3"/>
  <c r="C12" i="3"/>
  <c r="B12" i="3"/>
  <c r="E12" i="3" s="1"/>
  <c r="D11" i="3"/>
  <c r="C11" i="3"/>
  <c r="B11" i="3"/>
  <c r="E11" i="3" s="1"/>
  <c r="D10" i="3"/>
  <c r="C10" i="3"/>
  <c r="B10" i="3"/>
  <c r="E10" i="3" s="1"/>
  <c r="D9" i="3"/>
  <c r="C9" i="3"/>
  <c r="B9" i="3"/>
  <c r="E9" i="3" s="1"/>
  <c r="D8" i="3"/>
  <c r="C8" i="3"/>
  <c r="B8" i="3"/>
  <c r="E8" i="3" s="1"/>
  <c r="D7" i="3"/>
  <c r="C7" i="3"/>
  <c r="B7" i="3"/>
  <c r="E7" i="3" s="1"/>
  <c r="D6" i="3"/>
  <c r="C6" i="3"/>
  <c r="B6" i="3"/>
  <c r="E6" i="3" s="1"/>
  <c r="D5" i="3"/>
  <c r="C5" i="3"/>
  <c r="B5" i="3"/>
  <c r="E5" i="3" s="1"/>
</calcChain>
</file>

<file path=xl/sharedStrings.xml><?xml version="1.0" encoding="utf-8"?>
<sst xmlns="http://schemas.openxmlformats.org/spreadsheetml/2006/main" count="94" uniqueCount="71">
  <si>
    <t>PLANOS PESSOA FISICA — LEO Sistema de Laudos</t>
  </si>
  <si>
    <t>Aprovado em 11/04/2026</t>
  </si>
  <si>
    <t>Plano</t>
  </si>
  <si>
    <t>Preco Mensal (R$)</t>
  </si>
  <si>
    <t>Franquia (laudos/mes)</t>
  </si>
  <si>
    <t>Excedente (R$/laudo)</t>
  </si>
  <si>
    <t>Custo por Laudo (R$)</t>
  </si>
  <si>
    <t>Publico Alvo</t>
  </si>
  <si>
    <t>Basic</t>
  </si>
  <si>
    <t>Medicos baixo volume / conservadores</t>
  </si>
  <si>
    <t>Profissional</t>
  </si>
  <si>
    <t>Maioria dos medicos (~50% esperado)</t>
  </si>
  <si>
    <t>Expert</t>
  </si>
  <si>
    <t>Heavy users (500+ laudos/mes)</t>
  </si>
  <si>
    <t>PLANOS PESSOA JURIDICA — LEO Sistema de Laudos</t>
  </si>
  <si>
    <t>A definir</t>
  </si>
  <si>
    <t>Clinica Starter</t>
  </si>
  <si>
    <t>Clinica Pro</t>
  </si>
  <si>
    <t>Enterprise</t>
  </si>
  <si>
    <t>SIMULACAO DE CUSTO POR VOLUME</t>
  </si>
  <si>
    <t>Qual plano sai mais barato para cada volume de laudos?</t>
  </si>
  <si>
    <t>Laudos/Mes</t>
  </si>
  <si>
    <t>Custo Basic (R$)</t>
  </si>
  <si>
    <t>Custo Profissional (R$)</t>
  </si>
  <si>
    <t>Custo Expert (R$)</t>
  </si>
  <si>
    <t>Melhor Plano</t>
  </si>
  <si>
    <t>PROJECAO DE RECEITA — LEO</t>
  </si>
  <si>
    <t>Distribuicao: 25% Basic / 50% Profissional / 25% Expert</t>
  </si>
  <si>
    <t>Total Usuarios</t>
  </si>
  <si>
    <t>Basic (25%)</t>
  </si>
  <si>
    <t>Profissional (50%)</t>
  </si>
  <si>
    <t>Expert (25%)</t>
  </si>
  <si>
    <t>Receita Mensal (R$)</t>
  </si>
  <si>
    <t>Receita Anual (R$)</t>
  </si>
  <si>
    <t>PARAMETROS DO SISTEMA — LEO</t>
  </si>
  <si>
    <t>Parametro</t>
  </si>
  <si>
    <t>Valor</t>
  </si>
  <si>
    <t>Unidade</t>
  </si>
  <si>
    <t>Observacao</t>
  </si>
  <si>
    <t>Periodo Trial</t>
  </si>
  <si>
    <t>dias</t>
  </si>
  <si>
    <t>Automatico ao cadastrar</t>
  </si>
  <si>
    <t>Franquia Trial</t>
  </si>
  <si>
    <t>laudos</t>
  </si>
  <si>
    <t>Mesmo do plano Basic</t>
  </si>
  <si>
    <t>Carencia Inadimplencia</t>
  </si>
  <si>
    <t>Apos vencimento, antes de bloquear</t>
  </si>
  <si>
    <t>Rate Limit Emissao</t>
  </si>
  <si>
    <t>emissoes/hora</t>
  </si>
  <si>
    <t>Protecao anti-fraude</t>
  </si>
  <si>
    <t>Plano Anual (desconto)</t>
  </si>
  <si>
    <t>meses gratis</t>
  </si>
  <si>
    <t>Futuro - a implementar</t>
  </si>
  <si>
    <t>Excedente Extrato</t>
  </si>
  <si>
    <t>gratis/mes/local</t>
  </si>
  <si>
    <t>Geracao de extrato financeiro</t>
  </si>
  <si>
    <t>Reemissao sem alteracao</t>
  </si>
  <si>
    <t>R$</t>
  </si>
  <si>
    <t>Gratis se nao alterar identificacao</t>
  </si>
  <si>
    <t>Gateway Pagamento</t>
  </si>
  <si>
    <t>-</t>
  </si>
  <si>
    <t>Stripe ou Asaas - a definir</t>
  </si>
  <si>
    <t>Trial</t>
  </si>
  <si>
    <t>PLANO EXPERT/30 DIAS</t>
  </si>
  <si>
    <t>GRATIS</t>
  </si>
  <si>
    <t>Extrato (Franquia)</t>
  </si>
  <si>
    <t>Custo (Local de Trabalho)</t>
  </si>
  <si>
    <t>Extrato (R$/Extrato)</t>
  </si>
  <si>
    <t>Local de Trabalho (R$/Local)</t>
  </si>
  <si>
    <t>Usuarios</t>
  </si>
  <si>
    <t>Add Usuarios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</si>
</sst>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.00"/>
    <numFmt numFmtId="170" formatCode="&quot;R$&quot;\ #,##0.00"/>
  </numFmts>
  <fonts count="8" x14ac:knownFonts="1">
    <font>
      <sz val="11"/>
      <color theme="1"/>
      <name val="Calibri"/>
      <family val="2"/>
      <scheme val="minor"/>
    </font>
    <font>
      <b/>
      <sz val="14"/>
      <color rgb="FF1E3A5F"/>
      <name val="Arial"/>
    </font>
    <font>
      <sz val="9"/>
      <color rgb="FF64748B"/>
      <name val="Arial"/>
    </font>
    <font>
      <b/>
      <sz val="11"/>
      <color rgb="FFFFFFFF"/>
      <name val="Arial"/>
    </font>
    <font>
      <sz val="10"/>
      <color rgb="FF0F172A"/>
      <name val="Arial"/>
    </font>
    <font>
      <b/>
      <sz val="10"/>
      <color rgb="FF0F172A"/>
      <name val="Arial"/>
      <family val="2"/>
    </font>
    <font>
      <b/>
      <sz val="11"/>
      <color rgb="FFFFFFFF"/>
      <name val="Arial"/>
      <family val="2"/>
    </font>
    <font>
      <sz val="10"/>
      <color rgb="FF0F172A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F1F5F9"/>
      </patternFill>
    </fill>
    <fill>
      <patternFill patternType="solid">
        <fgColor rgb="FFFEF3C7"/>
      </patternFill>
    </fill>
    <fill>
      <patternFill patternType="solid">
        <fgColor rgb="FFD1FAE5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170" fontId="4" fillId="3" borderId="1" xfId="0" applyNumberFormat="1" applyFont="1" applyFill="1" applyBorder="1" applyAlignment="1">
      <alignment horizontal="center" vertical="center"/>
    </xf>
    <xf numFmtId="170" fontId="4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3A5F"/>
  </sheetPr>
  <dimension ref="A1:K8"/>
  <sheetViews>
    <sheetView tabSelected="1" topLeftCell="F1" workbookViewId="0">
      <selection activeCell="I11" sqref="I11"/>
    </sheetView>
  </sheetViews>
  <sheetFormatPr defaultRowHeight="15" x14ac:dyDescent="0.25"/>
  <cols>
    <col min="1" max="1" width="18" customWidth="1"/>
    <col min="2" max="2" width="23.28515625" bestFit="1" customWidth="1"/>
    <col min="3" max="3" width="23.7109375" bestFit="1" customWidth="1"/>
    <col min="4" max="4" width="30.5703125" bestFit="1" customWidth="1"/>
    <col min="5" max="5" width="23.28515625" bestFit="1" customWidth="1"/>
    <col min="6" max="6" width="23.28515625" customWidth="1"/>
    <col min="7" max="8" width="23.28515625" bestFit="1" customWidth="1"/>
    <col min="9" max="9" width="30.5703125" bestFit="1" customWidth="1"/>
    <col min="10" max="10" width="27.7109375" bestFit="1" customWidth="1"/>
    <col min="11" max="11" width="42" customWidth="1"/>
  </cols>
  <sheetData>
    <row r="1" spans="1:11" ht="18" x14ac:dyDescent="0.25">
      <c r="A1" s="1" t="s">
        <v>0</v>
      </c>
    </row>
    <row r="2" spans="1:11" x14ac:dyDescent="0.25">
      <c r="A2" s="2" t="s">
        <v>1</v>
      </c>
    </row>
    <row r="4" spans="1:11" x14ac:dyDescent="0.25">
      <c r="A4" s="3" t="s">
        <v>2</v>
      </c>
      <c r="B4" s="3" t="s">
        <v>3</v>
      </c>
      <c r="C4" s="3" t="s">
        <v>4</v>
      </c>
      <c r="D4" s="15" t="s">
        <v>68</v>
      </c>
      <c r="E4" s="3" t="s">
        <v>5</v>
      </c>
      <c r="F4" s="15" t="s">
        <v>65</v>
      </c>
      <c r="G4" s="15" t="s">
        <v>67</v>
      </c>
      <c r="H4" s="3" t="s">
        <v>6</v>
      </c>
      <c r="I4" s="15" t="s">
        <v>68</v>
      </c>
      <c r="J4" s="15" t="s">
        <v>66</v>
      </c>
      <c r="K4" s="3" t="s">
        <v>7</v>
      </c>
    </row>
    <row r="5" spans="1:11" x14ac:dyDescent="0.25">
      <c r="A5" s="6" t="s">
        <v>62</v>
      </c>
      <c r="B5" s="14" t="s">
        <v>63</v>
      </c>
      <c r="C5" s="14" t="s">
        <v>63</v>
      </c>
      <c r="D5" s="14" t="s">
        <v>63</v>
      </c>
      <c r="E5" s="14" t="s">
        <v>63</v>
      </c>
      <c r="F5" s="16" t="s">
        <v>63</v>
      </c>
      <c r="G5" s="14" t="s">
        <v>63</v>
      </c>
      <c r="H5" s="14" t="s">
        <v>63</v>
      </c>
      <c r="I5" s="14"/>
      <c r="J5" s="14" t="s">
        <v>63</v>
      </c>
      <c r="K5" s="6"/>
    </row>
    <row r="6" spans="1:11" x14ac:dyDescent="0.25">
      <c r="A6" s="4" t="s">
        <v>8</v>
      </c>
      <c r="B6" s="5">
        <v>99.99</v>
      </c>
      <c r="C6" s="4">
        <v>100</v>
      </c>
      <c r="D6" s="4">
        <v>1</v>
      </c>
      <c r="E6" s="5">
        <v>1.5</v>
      </c>
      <c r="F6" s="4">
        <v>2</v>
      </c>
      <c r="G6" s="5">
        <v>10</v>
      </c>
      <c r="H6" s="5">
        <f>B6/C6</f>
        <v>0.9998999999999999</v>
      </c>
      <c r="I6" s="5">
        <v>50</v>
      </c>
      <c r="J6" s="5">
        <f>B6/D6</f>
        <v>99.99</v>
      </c>
      <c r="K6" s="4" t="s">
        <v>9</v>
      </c>
    </row>
    <row r="7" spans="1:11" x14ac:dyDescent="0.25">
      <c r="A7" s="6" t="s">
        <v>10</v>
      </c>
      <c r="B7" s="7">
        <v>199.99</v>
      </c>
      <c r="C7" s="6">
        <v>350</v>
      </c>
      <c r="D7" s="6">
        <v>3</v>
      </c>
      <c r="E7" s="7">
        <v>0.75</v>
      </c>
      <c r="F7" s="6">
        <v>10</v>
      </c>
      <c r="G7" s="7">
        <v>5</v>
      </c>
      <c r="H7" s="5">
        <f t="shared" ref="H7:H8" si="0">B7/C7</f>
        <v>0.57140000000000002</v>
      </c>
      <c r="I7" s="5">
        <v>25</v>
      </c>
      <c r="J7" s="7">
        <f>B7/D7</f>
        <v>66.663333333333341</v>
      </c>
      <c r="K7" s="6" t="s">
        <v>11</v>
      </c>
    </row>
    <row r="8" spans="1:11" x14ac:dyDescent="0.25">
      <c r="A8" s="4" t="s">
        <v>12</v>
      </c>
      <c r="B8" s="5">
        <v>249.99</v>
      </c>
      <c r="C8" s="4">
        <v>600</v>
      </c>
      <c r="D8" s="4">
        <v>5</v>
      </c>
      <c r="E8" s="5">
        <v>0.5</v>
      </c>
      <c r="F8" s="17" t="s">
        <v>64</v>
      </c>
      <c r="G8" s="5" t="s">
        <v>64</v>
      </c>
      <c r="H8" s="5">
        <f t="shared" si="0"/>
        <v>0.41665000000000002</v>
      </c>
      <c r="I8" s="5">
        <v>10</v>
      </c>
      <c r="J8" s="7">
        <f>B8/D8</f>
        <v>49.998000000000005</v>
      </c>
      <c r="K8" s="4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C1D95"/>
  </sheetPr>
  <dimension ref="A1:I7"/>
  <sheetViews>
    <sheetView zoomScale="70" zoomScaleNormal="70" workbookViewId="0">
      <selection activeCell="C20" sqref="C20"/>
    </sheetView>
  </sheetViews>
  <sheetFormatPr defaultRowHeight="15" x14ac:dyDescent="0.25"/>
  <cols>
    <col min="1" max="1" width="18" customWidth="1"/>
    <col min="2" max="2" width="23.28515625" bestFit="1" customWidth="1"/>
    <col min="3" max="3" width="23.7109375" bestFit="1" customWidth="1"/>
    <col min="4" max="4" width="30.5703125" bestFit="1" customWidth="1"/>
    <col min="5" max="5" width="23.28515625" bestFit="1" customWidth="1"/>
    <col min="6" max="6" width="42" customWidth="1"/>
    <col min="7" max="7" width="31.85546875" bestFit="1" customWidth="1"/>
    <col min="8" max="8" width="23.28515625" bestFit="1" customWidth="1"/>
    <col min="9" max="9" width="27.7109375" bestFit="1" customWidth="1"/>
  </cols>
  <sheetData>
    <row r="1" spans="1:9" ht="18" x14ac:dyDescent="0.25">
      <c r="A1" s="1" t="s">
        <v>14</v>
      </c>
    </row>
    <row r="2" spans="1:9" x14ac:dyDescent="0.25">
      <c r="A2" s="2" t="s">
        <v>15</v>
      </c>
    </row>
    <row r="4" spans="1:9" x14ac:dyDescent="0.25">
      <c r="A4" s="3" t="s">
        <v>2</v>
      </c>
      <c r="B4" s="3" t="s">
        <v>3</v>
      </c>
      <c r="C4" s="3" t="s">
        <v>4</v>
      </c>
      <c r="D4" s="15" t="s">
        <v>69</v>
      </c>
      <c r="E4" s="3" t="s">
        <v>5</v>
      </c>
      <c r="F4" s="15" t="s">
        <v>65</v>
      </c>
      <c r="G4" s="15"/>
      <c r="H4" s="3" t="s">
        <v>6</v>
      </c>
      <c r="I4" s="15" t="s">
        <v>70</v>
      </c>
    </row>
    <row r="5" spans="1:9" x14ac:dyDescent="0.25">
      <c r="A5" s="18" t="s">
        <v>16</v>
      </c>
      <c r="B5" s="5">
        <v>299.99</v>
      </c>
      <c r="C5" s="4">
        <v>300</v>
      </c>
      <c r="D5" s="4">
        <v>3</v>
      </c>
      <c r="E5" s="5">
        <v>1.5</v>
      </c>
      <c r="F5" s="17" t="s">
        <v>64</v>
      </c>
      <c r="G5" s="17" t="s">
        <v>64</v>
      </c>
      <c r="H5" s="5">
        <f>B5/C5</f>
        <v>0.99996666666666667</v>
      </c>
      <c r="I5" s="20">
        <v>66.989999999999995</v>
      </c>
    </row>
    <row r="6" spans="1:9" x14ac:dyDescent="0.25">
      <c r="A6" s="7" t="s">
        <v>17</v>
      </c>
      <c r="B6" s="7">
        <v>349.99</v>
      </c>
      <c r="C6" s="6">
        <v>720</v>
      </c>
      <c r="D6" s="6">
        <v>6</v>
      </c>
      <c r="E6" s="7">
        <v>0.75</v>
      </c>
      <c r="F6" s="17" t="s">
        <v>64</v>
      </c>
      <c r="G6" s="17" t="s">
        <v>64</v>
      </c>
      <c r="H6" s="5">
        <f t="shared" ref="H6:H7" si="0">B6/C6</f>
        <v>0.48609722222222224</v>
      </c>
      <c r="I6" s="21">
        <v>50</v>
      </c>
    </row>
    <row r="7" spans="1:9" x14ac:dyDescent="0.25">
      <c r="A7" s="19" t="s">
        <v>18</v>
      </c>
      <c r="B7" s="5">
        <v>599.99</v>
      </c>
      <c r="C7" s="4">
        <v>1500</v>
      </c>
      <c r="D7" s="4">
        <v>9</v>
      </c>
      <c r="E7" s="5">
        <v>0.5</v>
      </c>
      <c r="F7" s="17" t="s">
        <v>64</v>
      </c>
      <c r="G7" s="17" t="s">
        <v>64</v>
      </c>
      <c r="H7" s="5">
        <f t="shared" si="0"/>
        <v>0.39999333333333331</v>
      </c>
      <c r="I7" s="20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563EB"/>
  </sheetPr>
  <dimension ref="A1:E15"/>
  <sheetViews>
    <sheetView workbookViewId="0"/>
  </sheetViews>
  <sheetFormatPr defaultRowHeight="15" x14ac:dyDescent="0.25"/>
  <cols>
    <col min="1" max="1" width="16" customWidth="1"/>
    <col min="2" max="2" width="22" customWidth="1"/>
    <col min="3" max="3" width="26" customWidth="1"/>
    <col min="4" max="4" width="22" customWidth="1"/>
    <col min="5" max="5" width="18" customWidth="1"/>
  </cols>
  <sheetData>
    <row r="1" spans="1:5" ht="18" x14ac:dyDescent="0.25">
      <c r="A1" s="1" t="s">
        <v>19</v>
      </c>
    </row>
    <row r="2" spans="1:5" x14ac:dyDescent="0.25">
      <c r="A2" s="2" t="s">
        <v>20</v>
      </c>
    </row>
    <row r="4" spans="1:5" x14ac:dyDescent="0.25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</row>
    <row r="5" spans="1:5" x14ac:dyDescent="0.25">
      <c r="A5" s="9">
        <v>50</v>
      </c>
      <c r="B5" s="5">
        <f t="shared" ref="B5:B15" si="0">IF(A5&lt;=100,99,99+(A5-100)*1.5)</f>
        <v>99</v>
      </c>
      <c r="C5" s="5">
        <f t="shared" ref="C5:C15" si="1">IF(A5&lt;=350,189.99,189.99+(A5-350)*0.75)</f>
        <v>189.99</v>
      </c>
      <c r="D5" s="5">
        <f t="shared" ref="D5:D15" si="2">IF(A5&lt;=500,249.99,249.99+(A5-500)*0.5)</f>
        <v>249.99</v>
      </c>
      <c r="E5" s="4" t="str">
        <f t="shared" ref="E5:E15" si="3">IF(AND(B5&lt;=C5,B5&lt;=D5),"Basic",IF(AND(C5&lt;=B5,C5&lt;=D5),"Profissional","Expert"))</f>
        <v>Basic</v>
      </c>
    </row>
    <row r="6" spans="1:5" x14ac:dyDescent="0.25">
      <c r="A6" s="10">
        <v>100</v>
      </c>
      <c r="B6" s="11">
        <f t="shared" si="0"/>
        <v>99</v>
      </c>
      <c r="C6" s="11">
        <f t="shared" si="1"/>
        <v>189.99</v>
      </c>
      <c r="D6" s="11">
        <f t="shared" si="2"/>
        <v>249.99</v>
      </c>
      <c r="E6" s="8" t="str">
        <f t="shared" si="3"/>
        <v>Basic</v>
      </c>
    </row>
    <row r="7" spans="1:5" x14ac:dyDescent="0.25">
      <c r="A7" s="9">
        <v>150</v>
      </c>
      <c r="B7" s="5">
        <f t="shared" si="0"/>
        <v>174</v>
      </c>
      <c r="C7" s="5">
        <f t="shared" si="1"/>
        <v>189.99</v>
      </c>
      <c r="D7" s="5">
        <f t="shared" si="2"/>
        <v>249.99</v>
      </c>
      <c r="E7" s="4" t="str">
        <f t="shared" si="3"/>
        <v>Basic</v>
      </c>
    </row>
    <row r="8" spans="1:5" x14ac:dyDescent="0.25">
      <c r="A8" s="10">
        <v>200</v>
      </c>
      <c r="B8" s="11">
        <f t="shared" si="0"/>
        <v>249</v>
      </c>
      <c r="C8" s="11">
        <f t="shared" si="1"/>
        <v>189.99</v>
      </c>
      <c r="D8" s="11">
        <f t="shared" si="2"/>
        <v>249.99</v>
      </c>
      <c r="E8" s="8" t="str">
        <f t="shared" si="3"/>
        <v>Profissional</v>
      </c>
    </row>
    <row r="9" spans="1:5" x14ac:dyDescent="0.25">
      <c r="A9" s="9">
        <v>250</v>
      </c>
      <c r="B9" s="5">
        <f t="shared" si="0"/>
        <v>324</v>
      </c>
      <c r="C9" s="5">
        <f t="shared" si="1"/>
        <v>189.99</v>
      </c>
      <c r="D9" s="5">
        <f t="shared" si="2"/>
        <v>249.99</v>
      </c>
      <c r="E9" s="4" t="str">
        <f t="shared" si="3"/>
        <v>Profissional</v>
      </c>
    </row>
    <row r="10" spans="1:5" x14ac:dyDescent="0.25">
      <c r="A10" s="10">
        <v>300</v>
      </c>
      <c r="B10" s="11">
        <f t="shared" si="0"/>
        <v>399</v>
      </c>
      <c r="C10" s="11">
        <f t="shared" si="1"/>
        <v>189.99</v>
      </c>
      <c r="D10" s="11">
        <f t="shared" si="2"/>
        <v>249.99</v>
      </c>
      <c r="E10" s="8" t="str">
        <f t="shared" si="3"/>
        <v>Profissional</v>
      </c>
    </row>
    <row r="11" spans="1:5" x14ac:dyDescent="0.25">
      <c r="A11" s="9">
        <v>350</v>
      </c>
      <c r="B11" s="5">
        <f t="shared" si="0"/>
        <v>474</v>
      </c>
      <c r="C11" s="5">
        <f t="shared" si="1"/>
        <v>189.99</v>
      </c>
      <c r="D11" s="5">
        <f t="shared" si="2"/>
        <v>249.99</v>
      </c>
      <c r="E11" s="4" t="str">
        <f t="shared" si="3"/>
        <v>Profissional</v>
      </c>
    </row>
    <row r="12" spans="1:5" x14ac:dyDescent="0.25">
      <c r="A12" s="10">
        <v>400</v>
      </c>
      <c r="B12" s="11">
        <f t="shared" si="0"/>
        <v>549</v>
      </c>
      <c r="C12" s="11">
        <f t="shared" si="1"/>
        <v>227.49</v>
      </c>
      <c r="D12" s="11">
        <f t="shared" si="2"/>
        <v>249.99</v>
      </c>
      <c r="E12" s="8" t="str">
        <f t="shared" si="3"/>
        <v>Profissional</v>
      </c>
    </row>
    <row r="13" spans="1:5" x14ac:dyDescent="0.25">
      <c r="A13" s="9">
        <v>500</v>
      </c>
      <c r="B13" s="5">
        <f t="shared" si="0"/>
        <v>699</v>
      </c>
      <c r="C13" s="5">
        <f t="shared" si="1"/>
        <v>302.49</v>
      </c>
      <c r="D13" s="5">
        <f t="shared" si="2"/>
        <v>249.99</v>
      </c>
      <c r="E13" s="4" t="str">
        <f t="shared" si="3"/>
        <v>Expert</v>
      </c>
    </row>
    <row r="14" spans="1:5" x14ac:dyDescent="0.25">
      <c r="A14" s="10">
        <v>750</v>
      </c>
      <c r="B14" s="11">
        <f t="shared" si="0"/>
        <v>1074</v>
      </c>
      <c r="C14" s="11">
        <f t="shared" si="1"/>
        <v>489.99</v>
      </c>
      <c r="D14" s="11">
        <f t="shared" si="2"/>
        <v>374.99</v>
      </c>
      <c r="E14" s="8" t="str">
        <f t="shared" si="3"/>
        <v>Expert</v>
      </c>
    </row>
    <row r="15" spans="1:5" x14ac:dyDescent="0.25">
      <c r="A15" s="9">
        <v>1000</v>
      </c>
      <c r="B15" s="5">
        <f t="shared" si="0"/>
        <v>1449</v>
      </c>
      <c r="C15" s="5">
        <f t="shared" si="1"/>
        <v>677.49</v>
      </c>
      <c r="D15" s="5">
        <f t="shared" si="2"/>
        <v>499.99</v>
      </c>
      <c r="E15" s="4" t="str">
        <f t="shared" si="3"/>
        <v>Expert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64E3B"/>
  </sheetPr>
  <dimension ref="A1:F9"/>
  <sheetViews>
    <sheetView workbookViewId="0"/>
  </sheetViews>
  <sheetFormatPr defaultRowHeight="15" x14ac:dyDescent="0.25"/>
  <cols>
    <col min="1" max="2" width="16" customWidth="1"/>
    <col min="3" max="3" width="22" customWidth="1"/>
    <col min="4" max="4" width="16" customWidth="1"/>
    <col min="5" max="6" width="22" customWidth="1"/>
  </cols>
  <sheetData>
    <row r="1" spans="1:6" ht="18" x14ac:dyDescent="0.25">
      <c r="A1" s="1" t="s">
        <v>26</v>
      </c>
    </row>
    <row r="2" spans="1:6" x14ac:dyDescent="0.25">
      <c r="A2" s="2" t="s">
        <v>27</v>
      </c>
    </row>
    <row r="4" spans="1:6" x14ac:dyDescent="0.25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</row>
    <row r="5" spans="1:6" x14ac:dyDescent="0.25">
      <c r="A5" s="4">
        <v>50</v>
      </c>
      <c r="B5" s="4">
        <f>ROUND(A5*0.25,0)</f>
        <v>13</v>
      </c>
      <c r="C5" s="4">
        <f>ROUND(A5*0.5,0)</f>
        <v>25</v>
      </c>
      <c r="D5" s="4">
        <f>ROUND(A5*0.25,0)</f>
        <v>13</v>
      </c>
      <c r="E5" s="5">
        <f>B5*99+C5*189.99+D5*249.99</f>
        <v>9286.619999999999</v>
      </c>
      <c r="F5" s="5">
        <f>E5*12</f>
        <v>111439.43999999999</v>
      </c>
    </row>
    <row r="6" spans="1:6" x14ac:dyDescent="0.25">
      <c r="A6" s="12">
        <v>100</v>
      </c>
      <c r="B6" s="12">
        <f>ROUND(A6*0.25,0)</f>
        <v>25</v>
      </c>
      <c r="C6" s="12">
        <f>ROUND(A6*0.5,0)</f>
        <v>50</v>
      </c>
      <c r="D6" s="12">
        <f>ROUND(A6*0.25,0)</f>
        <v>25</v>
      </c>
      <c r="E6" s="13">
        <f>B6*99+C6*189.99+D6*249.99</f>
        <v>18224.25</v>
      </c>
      <c r="F6" s="13">
        <f>E6*12</f>
        <v>218691</v>
      </c>
    </row>
    <row r="7" spans="1:6" x14ac:dyDescent="0.25">
      <c r="A7" s="4">
        <v>200</v>
      </c>
      <c r="B7" s="4">
        <f>ROUND(A7*0.25,0)</f>
        <v>50</v>
      </c>
      <c r="C7" s="4">
        <f>ROUND(A7*0.5,0)</f>
        <v>100</v>
      </c>
      <c r="D7" s="4">
        <f>ROUND(A7*0.25,0)</f>
        <v>50</v>
      </c>
      <c r="E7" s="5">
        <f>B7*99+C7*189.99+D7*249.99</f>
        <v>36448.5</v>
      </c>
      <c r="F7" s="5">
        <f>E7*12</f>
        <v>437382</v>
      </c>
    </row>
    <row r="8" spans="1:6" x14ac:dyDescent="0.25">
      <c r="A8" s="8">
        <v>500</v>
      </c>
      <c r="B8" s="8">
        <f>ROUND(A8*0.25,0)</f>
        <v>125</v>
      </c>
      <c r="C8" s="8">
        <f>ROUND(A8*0.5,0)</f>
        <v>250</v>
      </c>
      <c r="D8" s="8">
        <f>ROUND(A8*0.25,0)</f>
        <v>125</v>
      </c>
      <c r="E8" s="11">
        <f>B8*99+C8*189.99+D8*249.99</f>
        <v>91121.25</v>
      </c>
      <c r="F8" s="11">
        <f>E8*12</f>
        <v>1093455</v>
      </c>
    </row>
    <row r="9" spans="1:6" x14ac:dyDescent="0.25">
      <c r="A9" s="4">
        <v>1000</v>
      </c>
      <c r="B9" s="4">
        <f>ROUND(A9*0.25,0)</f>
        <v>250</v>
      </c>
      <c r="C9" s="4">
        <f>ROUND(A9*0.5,0)</f>
        <v>500</v>
      </c>
      <c r="D9" s="4">
        <f>ROUND(A9*0.25,0)</f>
        <v>250</v>
      </c>
      <c r="E9" s="5">
        <f>B9*99+C9*189.99+D9*249.99</f>
        <v>182242.5</v>
      </c>
      <c r="F9" s="5">
        <f>E9*12</f>
        <v>2186910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8350F"/>
  </sheetPr>
  <dimension ref="A1:D11"/>
  <sheetViews>
    <sheetView workbookViewId="0"/>
  </sheetViews>
  <sheetFormatPr defaultRowHeight="15" x14ac:dyDescent="0.25"/>
  <cols>
    <col min="1" max="1" width="28" customWidth="1"/>
    <col min="2" max="2" width="14" customWidth="1"/>
    <col min="3" max="3" width="18" customWidth="1"/>
    <col min="4" max="4" width="42" customWidth="1"/>
  </cols>
  <sheetData>
    <row r="1" spans="1:4" ht="18" x14ac:dyDescent="0.25">
      <c r="A1" s="1" t="s">
        <v>34</v>
      </c>
    </row>
    <row r="3" spans="1:4" x14ac:dyDescent="0.25">
      <c r="A3" s="3" t="s">
        <v>35</v>
      </c>
      <c r="B3" s="3" t="s">
        <v>36</v>
      </c>
      <c r="C3" s="3" t="s">
        <v>37</v>
      </c>
      <c r="D3" s="3" t="s">
        <v>38</v>
      </c>
    </row>
    <row r="4" spans="1:4" x14ac:dyDescent="0.25">
      <c r="A4" s="8" t="s">
        <v>39</v>
      </c>
      <c r="B4" s="8">
        <v>30</v>
      </c>
      <c r="C4" s="8" t="s">
        <v>40</v>
      </c>
      <c r="D4" s="8" t="s">
        <v>41</v>
      </c>
    </row>
    <row r="5" spans="1:4" x14ac:dyDescent="0.25">
      <c r="A5" s="4" t="s">
        <v>42</v>
      </c>
      <c r="B5" s="4">
        <v>100</v>
      </c>
      <c r="C5" s="4" t="s">
        <v>43</v>
      </c>
      <c r="D5" s="4" t="s">
        <v>44</v>
      </c>
    </row>
    <row r="6" spans="1:4" x14ac:dyDescent="0.25">
      <c r="A6" s="8" t="s">
        <v>45</v>
      </c>
      <c r="B6" s="8">
        <v>3</v>
      </c>
      <c r="C6" s="8" t="s">
        <v>40</v>
      </c>
      <c r="D6" s="8" t="s">
        <v>46</v>
      </c>
    </row>
    <row r="7" spans="1:4" x14ac:dyDescent="0.25">
      <c r="A7" s="4" t="s">
        <v>47</v>
      </c>
      <c r="B7" s="4">
        <v>20</v>
      </c>
      <c r="C7" s="4" t="s">
        <v>48</v>
      </c>
      <c r="D7" s="4" t="s">
        <v>49</v>
      </c>
    </row>
    <row r="8" spans="1:4" x14ac:dyDescent="0.25">
      <c r="A8" s="8" t="s">
        <v>50</v>
      </c>
      <c r="B8" s="8">
        <v>2</v>
      </c>
      <c r="C8" s="8" t="s">
        <v>51</v>
      </c>
      <c r="D8" s="8" t="s">
        <v>52</v>
      </c>
    </row>
    <row r="9" spans="1:4" x14ac:dyDescent="0.25">
      <c r="A9" s="4" t="s">
        <v>53</v>
      </c>
      <c r="B9" s="4">
        <v>1</v>
      </c>
      <c r="C9" s="4" t="s">
        <v>54</v>
      </c>
      <c r="D9" s="4" t="s">
        <v>55</v>
      </c>
    </row>
    <row r="10" spans="1:4" x14ac:dyDescent="0.25">
      <c r="A10" s="8" t="s">
        <v>56</v>
      </c>
      <c r="B10" s="8">
        <v>0</v>
      </c>
      <c r="C10" s="8" t="s">
        <v>57</v>
      </c>
      <c r="D10" s="8" t="s">
        <v>58</v>
      </c>
    </row>
    <row r="11" spans="1:4" x14ac:dyDescent="0.25">
      <c r="A11" s="4" t="s">
        <v>59</v>
      </c>
      <c r="B11" s="4" t="s">
        <v>60</v>
      </c>
      <c r="C11" s="4" t="s">
        <v>60</v>
      </c>
      <c r="D11" s="4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Planos PF</vt:lpstr>
      <vt:lpstr>Planos PJ</vt:lpstr>
      <vt:lpstr>Simulacao</vt:lpstr>
      <vt:lpstr>Receita Estimada</vt:lpstr>
      <vt:lpstr>Parametros Sistema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Sérgio Roberto Abdon Rodrigues</cp:lastModifiedBy>
  <dcterms:created xsi:type="dcterms:W3CDTF">2026-04-12T14:51:57Z</dcterms:created>
  <dcterms:modified xsi:type="dcterms:W3CDTF">2026-04-12T18:33:08Z</dcterms:modified>
</cp:coreProperties>
</file>